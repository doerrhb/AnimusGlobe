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AC Franchise Data" sheetId="2" state="visible" r:id="rId2"/>
  </sheets>
  <definedNames>
    <definedName name="_xlnm._FilterDatabase" localSheetId="1" hidden="1">'AC Franchise Data'!$A$4:$J$61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555555"/>
      <sz val="9"/>
    </font>
    <font>
      <name val="Segoe UI"/>
      <b val="1"/>
      <color rgb="001B365D"/>
      <sz val="18"/>
    </font>
    <font>
      <name val="Segoe UI"/>
      <b val="1"/>
      <color rgb="001B365D"/>
      <sz val="12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F0F4F8"/>
        <bgColor rgb="00F0F4F8"/>
      </patternFill>
    </fill>
  </fills>
  <borders count="5">
    <border>
      <left/>
      <right/>
      <top/>
      <bottom/>
      <diagonal/>
    </border>
    <border>
      <top style="thin">
        <color rgb="00E0E0E0"/>
      </top>
      <bottom style="medium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top style="thin">
        <color rgb="00E0E0E0"/>
      </top>
      <bottom style="double">
        <color rgb="001B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5" borderId="3" applyAlignment="1" pivotButton="0" quotePrefix="0" xfId="0">
      <alignment horizontal="center" vertical="center"/>
    </xf>
    <xf numFmtId="0" fontId="0" fillId="5" borderId="3" pivotButton="0" quotePrefix="0" xfId="0"/>
    <xf numFmtId="0" fontId="6" fillId="5" borderId="3" applyAlignment="1" pivotButton="0" quotePrefix="0" xfId="0">
      <alignment horizontal="center" vertical="center"/>
    </xf>
    <xf numFmtId="0" fontId="7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8" fillId="0" borderId="4" pivotButton="0" quotePrefix="0" xfId="0"/>
    <xf numFmtId="0" fontId="8" fillId="0" borderId="4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Releases by Type</a:t>
            </a:r>
          </a:p>
        </rich>
      </tx>
    </title>
    <plotArea>
      <pieChart>
        <varyColors val="1"/>
        <ser>
          <idx val="0"/>
          <order val="0"/>
          <tx>
            <strRef>
              <f>'Dashboard &amp; Summary'!C9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Summary'!$B$10:$B$14</f>
            </numRef>
          </cat>
          <val>
            <numRef>
              <f>'Dashboard &amp; Summary'!$C$10:$C$14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Setting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Summary'!G9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Summary'!$F$10:$F$16</f>
            </numRef>
          </cat>
          <val>
            <numRef>
              <f>'Dashboard &amp; Summary'!$G$10:$G$16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Broad 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Releases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4" customWidth="1" min="4" max="4"/>
    <col width="4" customWidth="1" min="5" max="5"/>
    <col width="20" customWidth="1" min="6" max="6"/>
    <col width="12" customWidth="1" min="7" max="7"/>
    <col width="14" customWidth="1" min="8" max="8"/>
    <col width="4" customWidth="1" min="9" max="9"/>
    <col width="2" customWidth="1" min="10" max="10"/>
    <col width="14" customWidth="1" min="11" max="11"/>
    <col width="14" customWidth="1" min="12" max="12"/>
    <col width="2" customWidth="1" min="13" max="13"/>
    <col width="14" customWidth="1" min="14" max="14"/>
    <col width="14" customWidth="1" min="15" max="15"/>
  </cols>
  <sheetData>
    <row r="1" ht="24" customHeight="1">
      <c r="A1" s="1" t="inlineStr">
        <is>
          <t>Assassin's Creed Franchise Overview &amp; Complete Analytics</t>
        </is>
      </c>
    </row>
    <row r="2" ht="18" customHeight="1">
      <c r="A2" s="2" t="inlineStr">
        <is>
          <t>Executive summary, category breakdown, and regional distribution across all 57 franchise releases.</t>
        </is>
      </c>
    </row>
    <row r="4" ht="18" customHeight="1">
      <c r="B4" s="3" t="inlineStr">
        <is>
          <t>TOTAL RELEASES</t>
        </is>
      </c>
      <c r="C4" s="4" t="n"/>
      <c r="E4" s="3" t="inlineStr">
        <is>
          <t>MAIN GAMES</t>
        </is>
      </c>
      <c r="F4" s="4" t="n"/>
      <c r="H4" s="3" t="inlineStr">
        <is>
          <t>MAJOR DLCs / EXPANSIONS</t>
        </is>
      </c>
      <c r="I4" s="4" t="n"/>
      <c r="K4" s="3" t="inlineStr">
        <is>
          <t>MOBILE / HANDHELD</t>
        </is>
      </c>
      <c r="L4" s="4" t="n"/>
      <c r="N4" s="3" t="inlineStr">
        <is>
          <t>SPIN-OFFS &amp; VR</t>
        </is>
      </c>
      <c r="O4" s="4" t="n"/>
    </row>
    <row r="5" ht="28" customHeight="1">
      <c r="B5" s="5">
        <f>COUNTA('AC Franchise Data'!A5:A61)</f>
        <v/>
      </c>
      <c r="C5" s="4" t="n"/>
      <c r="E5" s="5">
        <f>COUNTIF('AC Franchise Data'!B5:B61, "Main Game")</f>
        <v/>
      </c>
      <c r="F5" s="4" t="n"/>
      <c r="H5" s="5">
        <f>COUNTIF('AC Franchise Data'!B5:B61, "Major DLC / Expansion")</f>
        <v/>
      </c>
      <c r="I5" s="4" t="n"/>
      <c r="K5" s="5">
        <f>COUNTIF('AC Franchise Data'!B5:B61, "Mobile / Handheld")</f>
        <v/>
      </c>
      <c r="L5" s="4" t="n"/>
      <c r="N5" s="5">
        <f>COUNTIF('AC Franchise Data'!B5:B61, "Spin-Off")</f>
        <v/>
      </c>
      <c r="O5" s="4" t="n"/>
    </row>
    <row r="8">
      <c r="B8" s="6" t="inlineStr">
        <is>
          <t>Release Type Breakdown</t>
        </is>
      </c>
      <c r="F8" s="6" t="inlineStr">
        <is>
          <t>Regional Setting Breakdown</t>
        </is>
      </c>
    </row>
    <row r="9">
      <c r="B9" s="7" t="inlineStr">
        <is>
          <t>Release Type</t>
        </is>
      </c>
      <c r="C9" s="7" t="inlineStr">
        <is>
          <t>Count</t>
        </is>
      </c>
      <c r="D9" s="7" t="inlineStr">
        <is>
          <t>% of Total</t>
        </is>
      </c>
      <c r="F9" s="7" t="inlineStr">
        <is>
          <t>Broad Region</t>
        </is>
      </c>
      <c r="G9" s="7" t="inlineStr">
        <is>
          <t>Count</t>
        </is>
      </c>
      <c r="H9" s="7" t="inlineStr">
        <is>
          <t>% of Total</t>
        </is>
      </c>
    </row>
    <row r="10">
      <c r="B10" s="8" t="inlineStr">
        <is>
          <t>Main Game</t>
        </is>
      </c>
      <c r="C10" s="9">
        <f>COUNTIF('AC Franchise Data'!B5:B61, "Main Game")</f>
        <v/>
      </c>
      <c r="D10" s="10">
        <f>C10/$C$15</f>
        <v/>
      </c>
      <c r="F10" s="8" t="inlineStr">
        <is>
          <t>Europe</t>
        </is>
      </c>
      <c r="G10" s="9">
        <f>COUNTIF('AC Franchise Data'!I5:I61, "Europe")</f>
        <v/>
      </c>
      <c r="H10" s="10">
        <f>G10/$G$17</f>
        <v/>
      </c>
    </row>
    <row r="11">
      <c r="B11" s="8" t="inlineStr">
        <is>
          <t>Major DLC / Expansion</t>
        </is>
      </c>
      <c r="C11" s="9">
        <f>COUNTIF('AC Franchise Data'!B5:B61, "Major DLC / Expansion")</f>
        <v/>
      </c>
      <c r="D11" s="10">
        <f>C11/$C$15</f>
        <v/>
      </c>
      <c r="F11" s="8" t="inlineStr">
        <is>
          <t>North America</t>
        </is>
      </c>
      <c r="G11" s="9">
        <f>COUNTIF('AC Franchise Data'!I5:I61, "North America")</f>
        <v/>
      </c>
      <c r="H11" s="10">
        <f>G11/$G$17</f>
        <v/>
      </c>
    </row>
    <row r="12">
      <c r="B12" s="8" t="inlineStr">
        <is>
          <t>Mobile / Handheld</t>
        </is>
      </c>
      <c r="C12" s="9">
        <f>COUNTIF('AC Franchise Data'!B5:B61, "Mobile / Handheld")</f>
        <v/>
      </c>
      <c r="D12" s="10">
        <f>C12/$C$15</f>
        <v/>
      </c>
      <c r="F12" s="8" t="inlineStr">
        <is>
          <t>Middle East</t>
        </is>
      </c>
      <c r="G12" s="9">
        <f>COUNTIF('AC Franchise Data'!I5:I61, "Middle East")</f>
        <v/>
      </c>
      <c r="H12" s="10">
        <f>G12/$G$17</f>
        <v/>
      </c>
    </row>
    <row r="13">
      <c r="B13" s="8" t="inlineStr">
        <is>
          <t>Spin-Off</t>
        </is>
      </c>
      <c r="C13" s="9">
        <f>COUNTIF('AC Franchise Data'!B5:B61, "Spin-Off")</f>
        <v/>
      </c>
      <c r="D13" s="10">
        <f>C13/$C$15</f>
        <v/>
      </c>
      <c r="F13" s="8" t="inlineStr">
        <is>
          <t>Asia</t>
        </is>
      </c>
      <c r="G13" s="9">
        <f>COUNTIF('AC Franchise Data'!I5:I61, "Asia")</f>
        <v/>
      </c>
      <c r="H13" s="10">
        <f>G13/$G$17</f>
        <v/>
      </c>
    </row>
    <row r="14">
      <c r="B14" s="8" t="inlineStr">
        <is>
          <t>Browser / Social</t>
        </is>
      </c>
      <c r="C14" s="9">
        <f>COUNTIF('AC Franchise Data'!B5:B61, "Browser / Social")</f>
        <v/>
      </c>
      <c r="D14" s="10">
        <f>C14/$C$15</f>
        <v/>
      </c>
      <c r="F14" s="8" t="inlineStr">
        <is>
          <t>Africa</t>
        </is>
      </c>
      <c r="G14" s="9">
        <f>COUNTIF('AC Franchise Data'!I5:I61, "Africa")</f>
        <v/>
      </c>
      <c r="H14" s="10">
        <f>G14/$G$17</f>
        <v/>
      </c>
    </row>
    <row r="15">
      <c r="B15" s="11" t="inlineStr">
        <is>
          <t>Total</t>
        </is>
      </c>
      <c r="C15" s="12">
        <f>SUM(C10:C14)</f>
        <v/>
      </c>
      <c r="D15" s="13">
        <f>SUM(D10:D14)</f>
        <v/>
      </c>
      <c r="F15" s="8" t="inlineStr">
        <is>
          <t>Caribbean</t>
        </is>
      </c>
      <c r="G15" s="9">
        <f>COUNTIF('AC Franchise Data'!I5:I61, "Caribbean")</f>
        <v/>
      </c>
      <c r="H15" s="10">
        <f>G15/$G$17</f>
        <v/>
      </c>
    </row>
    <row r="16">
      <c r="F16" s="8" t="inlineStr">
        <is>
          <t>Multi-Region</t>
        </is>
      </c>
      <c r="G16" s="9">
        <f>COUNTIF('AC Franchise Data'!I5:I61, "Multi-Region")</f>
        <v/>
      </c>
      <c r="H16" s="10">
        <f>G16/$G$17</f>
        <v/>
      </c>
    </row>
    <row r="17">
      <c r="F17" s="11" t="inlineStr">
        <is>
          <t>Total</t>
        </is>
      </c>
      <c r="G17" s="12">
        <f>SUM(G10:G16)</f>
        <v/>
      </c>
      <c r="H17" s="13">
        <f>SUM(H10:H16)</f>
        <v/>
      </c>
    </row>
  </sheetData>
  <mergeCells count="12">
    <mergeCell ref="E4:F4"/>
    <mergeCell ref="N5:O5"/>
    <mergeCell ref="B5:C5"/>
    <mergeCell ref="B8:D8"/>
    <mergeCell ref="E5:F5"/>
    <mergeCell ref="K5:L5"/>
    <mergeCell ref="H5:I5"/>
    <mergeCell ref="F8:H8"/>
    <mergeCell ref="H4:I4"/>
    <mergeCell ref="K4:L4"/>
    <mergeCell ref="B4:C4"/>
    <mergeCell ref="N4:O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34" customWidth="1" min="5" max="5"/>
    <col width="22" customWidth="1" min="6" max="6"/>
    <col width="34" customWidth="1" min="7" max="7"/>
    <col width="42" customWidth="1" min="8" max="8"/>
    <col width="18" customWidth="1" min="9" max="9"/>
    <col width="42" customWidth="1" min="10" max="10"/>
  </cols>
  <sheetData>
    <row r="1" ht="24" customHeight="1">
      <c r="A1" s="1" t="inlineStr">
        <is>
          <t>Assassin's Creed Complete Master Data Sheet</t>
        </is>
      </c>
    </row>
    <row r="2" ht="18" customHeight="1">
      <c r="A2" s="2" t="inlineStr">
        <is>
          <t>Complete database of all 57 releases across console, PC, handheld, mobile, VR, and browser/social platforms. Use header arrows to filter.</t>
        </is>
      </c>
    </row>
    <row r="3"/>
    <row r="4" ht="26" customHeight="1">
      <c r="A4" s="14" t="inlineStr">
        <is>
          <t>Game / Release Title</t>
        </is>
      </c>
      <c r="B4" s="14" t="inlineStr">
        <is>
          <t>Type</t>
        </is>
      </c>
      <c r="C4" s="14" t="inlineStr">
        <is>
          <t>Release Date</t>
        </is>
      </c>
      <c r="D4" s="14" t="inlineStr">
        <is>
          <t>Release Year</t>
        </is>
      </c>
      <c r="E4" s="14" t="inlineStr">
        <is>
          <t>Main Character(s)</t>
        </is>
      </c>
      <c r="F4" s="14" t="inlineStr">
        <is>
          <t>Setting Year / Era</t>
        </is>
      </c>
      <c r="G4" s="14" t="inlineStr">
        <is>
          <t>Historical Period</t>
        </is>
      </c>
      <c r="H4" s="14" t="inlineStr">
        <is>
          <t>Specific Location</t>
        </is>
      </c>
      <c r="I4" s="14" t="inlineStr">
        <is>
          <t>Broad Region</t>
        </is>
      </c>
      <c r="J4" s="14" t="inlineStr">
        <is>
          <t>Platforms Available</t>
        </is>
      </c>
    </row>
    <row r="5" ht="20" customHeight="1">
      <c r="A5" s="15" t="inlineStr">
        <is>
          <t>Assassin's Creed (Mobile 2D)</t>
        </is>
      </c>
      <c r="B5" s="16" t="inlineStr">
        <is>
          <t>Mobile / Handheld</t>
        </is>
      </c>
      <c r="C5" s="16" t="inlineStr">
        <is>
          <t>2007-11-01</t>
        </is>
      </c>
      <c r="D5" s="16" t="n">
        <v>2007</v>
      </c>
      <c r="E5" s="15" t="inlineStr">
        <is>
          <t>Altaïr Ibn-La'Ahad</t>
        </is>
      </c>
      <c r="F5" s="15" t="inlineStr">
        <is>
          <t>1191 AD</t>
        </is>
      </c>
      <c r="G5" s="15" t="inlineStr">
        <is>
          <t>Third Crusade</t>
        </is>
      </c>
      <c r="H5" s="15" t="inlineStr">
        <is>
          <t>Jerusalem, Acre, Damascus</t>
        </is>
      </c>
      <c r="I5" s="16" t="inlineStr">
        <is>
          <t>Middle East</t>
        </is>
      </c>
      <c r="J5" s="15" t="inlineStr">
        <is>
          <t>Mobile (Java ME)</t>
        </is>
      </c>
    </row>
    <row r="6" ht="20" customHeight="1">
      <c r="A6" s="17" t="inlineStr">
        <is>
          <t>Assassin's Creed</t>
        </is>
      </c>
      <c r="B6" s="18" t="inlineStr">
        <is>
          <t>Main Game</t>
        </is>
      </c>
      <c r="C6" s="18" t="inlineStr">
        <is>
          <t>2007-11-13</t>
        </is>
      </c>
      <c r="D6" s="18" t="n">
        <v>2007</v>
      </c>
      <c r="E6" s="17" t="inlineStr">
        <is>
          <t>Altaïr Ibn-La'Ahad</t>
        </is>
      </c>
      <c r="F6" s="17" t="inlineStr">
        <is>
          <t>1191 AD</t>
        </is>
      </c>
      <c r="G6" s="17" t="inlineStr">
        <is>
          <t>Third Crusade</t>
        </is>
      </c>
      <c r="H6" s="17" t="inlineStr">
        <is>
          <t>Jerusalem, Acre, Damascus, Masyaf</t>
        </is>
      </c>
      <c r="I6" s="18" t="inlineStr">
        <is>
          <t>Middle East</t>
        </is>
      </c>
      <c r="J6" s="17" t="inlineStr">
        <is>
          <t>PS3, Xbox 360, PC</t>
        </is>
      </c>
    </row>
    <row r="7" ht="20" customHeight="1">
      <c r="A7" s="15" t="inlineStr">
        <is>
          <t>Assassin's Creed: Altaïr's Chronicles</t>
        </is>
      </c>
      <c r="B7" s="16" t="inlineStr">
        <is>
          <t>Mobile / Handheld</t>
        </is>
      </c>
      <c r="C7" s="16" t="inlineStr">
        <is>
          <t>2008-02-05</t>
        </is>
      </c>
      <c r="D7" s="16" t="n">
        <v>2008</v>
      </c>
      <c r="E7" s="15" t="inlineStr">
        <is>
          <t>Altaïr Ibn-La'Ahad</t>
        </is>
      </c>
      <c r="F7" s="15" t="inlineStr">
        <is>
          <t>1190 AD</t>
        </is>
      </c>
      <c r="G7" s="15" t="inlineStr">
        <is>
          <t>Third Crusade Prelude</t>
        </is>
      </c>
      <c r="H7" s="15" t="inlineStr">
        <is>
          <t>Jerusalem, Damascus, Tyre, Aleppo</t>
        </is>
      </c>
      <c r="I7" s="16" t="inlineStr">
        <is>
          <t>Middle East</t>
        </is>
      </c>
      <c r="J7" s="15" t="inlineStr">
        <is>
          <t>Nintendo DS, iOS, Android, Windows Phone</t>
        </is>
      </c>
    </row>
    <row r="8" ht="20" customHeight="1">
      <c r="A8" s="17" t="inlineStr">
        <is>
          <t>Assassin's Creed II Mobile</t>
        </is>
      </c>
      <c r="B8" s="18" t="inlineStr">
        <is>
          <t>Mobile / Handheld</t>
        </is>
      </c>
      <c r="C8" s="18" t="inlineStr">
        <is>
          <t>2009-11-10</t>
        </is>
      </c>
      <c r="D8" s="18" t="n">
        <v>2009</v>
      </c>
      <c r="E8" s="17" t="inlineStr">
        <is>
          <t>Ezio Auditore da Firenze</t>
        </is>
      </c>
      <c r="F8" s="17" t="inlineStr">
        <is>
          <t>1476 AD</t>
        </is>
      </c>
      <c r="G8" s="17" t="inlineStr">
        <is>
          <t>Italian Renaissance</t>
        </is>
      </c>
      <c r="H8" s="17" t="inlineStr">
        <is>
          <t>Florence, Venice (Italy)</t>
        </is>
      </c>
      <c r="I8" s="18" t="inlineStr">
        <is>
          <t>Europe</t>
        </is>
      </c>
      <c r="J8" s="17" t="inlineStr">
        <is>
          <t>Mobile (Java ME, BlackBerry)</t>
        </is>
      </c>
    </row>
    <row r="9" ht="20" customHeight="1">
      <c r="A9" s="15" t="inlineStr">
        <is>
          <t>Assassin's Creed II</t>
        </is>
      </c>
      <c r="B9" s="16" t="inlineStr">
        <is>
          <t>Main Game</t>
        </is>
      </c>
      <c r="C9" s="16" t="inlineStr">
        <is>
          <t>2009-11-17</t>
        </is>
      </c>
      <c r="D9" s="16" t="n">
        <v>2009</v>
      </c>
      <c r="E9" s="15" t="inlineStr">
        <is>
          <t>Ezio Auditore da Firenze</t>
        </is>
      </c>
      <c r="F9" s="15" t="inlineStr">
        <is>
          <t>1476–1499 AD</t>
        </is>
      </c>
      <c r="G9" s="15" t="inlineStr">
        <is>
          <t>Italian Renaissance</t>
        </is>
      </c>
      <c r="H9" s="15" t="inlineStr">
        <is>
          <t>Florence, Venice, Forlì, San Gimignano, Rome (Italy)</t>
        </is>
      </c>
      <c r="I9" s="16" t="inlineStr">
        <is>
          <t>Europe</t>
        </is>
      </c>
      <c r="J9" s="15" t="inlineStr">
        <is>
          <t>PS3, Xbox 360, PC, PS4, Xbox One, Switch</t>
        </is>
      </c>
    </row>
    <row r="10" ht="20" customHeight="1">
      <c r="A10" s="17" t="inlineStr">
        <is>
          <t>Assassin's Creed: Bloodlines</t>
        </is>
      </c>
      <c r="B10" s="18" t="inlineStr">
        <is>
          <t>Mobile / Handheld</t>
        </is>
      </c>
      <c r="C10" s="18" t="inlineStr">
        <is>
          <t>2009-11-17</t>
        </is>
      </c>
      <c r="D10" s="18" t="n">
        <v>2009</v>
      </c>
      <c r="E10" s="17" t="inlineStr">
        <is>
          <t>Altaïr Ibn-La'Ahad</t>
        </is>
      </c>
      <c r="F10" s="17" t="inlineStr">
        <is>
          <t>1191 AD</t>
        </is>
      </c>
      <c r="G10" s="17" t="inlineStr">
        <is>
          <t>Post-Third Crusade</t>
        </is>
      </c>
      <c r="H10" s="17" t="inlineStr">
        <is>
          <t>Limassol, Kyrenia (Cyprus)</t>
        </is>
      </c>
      <c r="I10" s="18" t="inlineStr">
        <is>
          <t>Europe</t>
        </is>
      </c>
      <c r="J10" s="17" t="inlineStr">
        <is>
          <t>PlayStation Portable (PSP)</t>
        </is>
      </c>
    </row>
    <row r="11" ht="20" customHeight="1">
      <c r="A11" s="15" t="inlineStr">
        <is>
          <t>Assassin's Creed II: Discovery</t>
        </is>
      </c>
      <c r="B11" s="16" t="inlineStr">
        <is>
          <t>Mobile / Handheld</t>
        </is>
      </c>
      <c r="C11" s="16" t="inlineStr">
        <is>
          <t>2009-11-17</t>
        </is>
      </c>
      <c r="D11" s="16" t="n">
        <v>2009</v>
      </c>
      <c r="E11" s="15" t="inlineStr">
        <is>
          <t>Ezio Auditore da Firenze</t>
        </is>
      </c>
      <c r="F11" s="15" t="inlineStr">
        <is>
          <t>1491 AD</t>
        </is>
      </c>
      <c r="G11" s="15" t="inlineStr">
        <is>
          <t>Spanish Inquisition</t>
        </is>
      </c>
      <c r="H11" s="15" t="inlineStr">
        <is>
          <t>Barcelona, Granada, Zaragoza (Spain)</t>
        </is>
      </c>
      <c r="I11" s="16" t="inlineStr">
        <is>
          <t>Europe</t>
        </is>
      </c>
      <c r="J11" s="15" t="inlineStr">
        <is>
          <t>Nintendo DS, iOS</t>
        </is>
      </c>
    </row>
    <row r="12" ht="20" customHeight="1">
      <c r="A12" s="17" t="inlineStr">
        <is>
          <t>AC II: Battle of Forlì</t>
        </is>
      </c>
      <c r="B12" s="18" t="inlineStr">
        <is>
          <t>Major DLC / Expansion</t>
        </is>
      </c>
      <c r="C12" s="18" t="inlineStr">
        <is>
          <t>2010-01-28</t>
        </is>
      </c>
      <c r="D12" s="18" t="n">
        <v>2010</v>
      </c>
      <c r="E12" s="17" t="inlineStr">
        <is>
          <t>Ezio Auditore da Firenze</t>
        </is>
      </c>
      <c r="F12" s="17" t="inlineStr">
        <is>
          <t>1488 AD</t>
        </is>
      </c>
      <c r="G12" s="17" t="inlineStr">
        <is>
          <t>Italian Renaissance</t>
        </is>
      </c>
      <c r="H12" s="17" t="inlineStr">
        <is>
          <t>Forlì (Italy)</t>
        </is>
      </c>
      <c r="I12" s="18" t="inlineStr">
        <is>
          <t>Europe</t>
        </is>
      </c>
      <c r="J12" s="17" t="inlineStr">
        <is>
          <t>PS3, Xbox 360, PC</t>
        </is>
      </c>
    </row>
    <row r="13" ht="20" customHeight="1">
      <c r="A13" s="15" t="inlineStr">
        <is>
          <t>AC II: Bonfire of the Vanities</t>
        </is>
      </c>
      <c r="B13" s="16" t="inlineStr">
        <is>
          <t>Major DLC / Expansion</t>
        </is>
      </c>
      <c r="C13" s="16" t="inlineStr">
        <is>
          <t>2010-02-18</t>
        </is>
      </c>
      <c r="D13" s="16" t="n">
        <v>2010</v>
      </c>
      <c r="E13" s="15" t="inlineStr">
        <is>
          <t>Ezio Auditore da Firenze</t>
        </is>
      </c>
      <c r="F13" s="15" t="inlineStr">
        <is>
          <t>1497 AD</t>
        </is>
      </c>
      <c r="G13" s="15" t="inlineStr">
        <is>
          <t>Italian Renaissance</t>
        </is>
      </c>
      <c r="H13" s="15" t="inlineStr">
        <is>
          <t>Florence (Italy)</t>
        </is>
      </c>
      <c r="I13" s="16" t="inlineStr">
        <is>
          <t>Europe</t>
        </is>
      </c>
      <c r="J13" s="15" t="inlineStr">
        <is>
          <t>PS3, Xbox 360, PC</t>
        </is>
      </c>
    </row>
    <row r="14" ht="20" customHeight="1">
      <c r="A14" s="17" t="inlineStr">
        <is>
          <t>Assassin's Creed: Project Legacy</t>
        </is>
      </c>
      <c r="B14" s="18" t="inlineStr">
        <is>
          <t>Browser / Social</t>
        </is>
      </c>
      <c r="C14" s="18" t="inlineStr">
        <is>
          <t>2010-09-28</t>
        </is>
      </c>
      <c r="D14" s="18" t="n">
        <v>2010</v>
      </c>
      <c r="E14" s="17" t="inlineStr">
        <is>
          <t>Animus Subject (Various)</t>
        </is>
      </c>
      <c r="F14" s="17" t="inlineStr">
        <is>
          <t>Multi-Era (15th–18th C.)</t>
        </is>
      </c>
      <c r="G14" s="17" t="inlineStr">
        <is>
          <t>Renaissance / Italian Wars</t>
        </is>
      </c>
      <c r="H14" s="17" t="inlineStr">
        <is>
          <t>Rome, Venice, Europe</t>
        </is>
      </c>
      <c r="I14" s="18" t="inlineStr">
        <is>
          <t>Europe</t>
        </is>
      </c>
      <c r="J14" s="17" t="inlineStr">
        <is>
          <t>Web Browser (Facebook)</t>
        </is>
      </c>
    </row>
    <row r="15" ht="20" customHeight="1">
      <c r="A15" s="15" t="inlineStr">
        <is>
          <t>Assassin's Creed: Brotherhood</t>
        </is>
      </c>
      <c r="B15" s="16" t="inlineStr">
        <is>
          <t>Main Game</t>
        </is>
      </c>
      <c r="C15" s="16" t="inlineStr">
        <is>
          <t>2010-11-16</t>
        </is>
      </c>
      <c r="D15" s="16" t="n">
        <v>2010</v>
      </c>
      <c r="E15" s="15" t="inlineStr">
        <is>
          <t>Ezio Auditore da Firenze</t>
        </is>
      </c>
      <c r="F15" s="15" t="inlineStr">
        <is>
          <t>1503–1507 AD</t>
        </is>
      </c>
      <c r="G15" s="15" t="inlineStr">
        <is>
          <t>High Renaissance</t>
        </is>
      </c>
      <c r="H15" s="15" t="inlineStr">
        <is>
          <t>Rome (Italy)</t>
        </is>
      </c>
      <c r="I15" s="16" t="inlineStr">
        <is>
          <t>Europe</t>
        </is>
      </c>
      <c r="J15" s="15" t="inlineStr">
        <is>
          <t>PS3, Xbox 360, PC, PS4, Xbox One, Switch</t>
        </is>
      </c>
    </row>
    <row r="16" ht="20" customHeight="1">
      <c r="A16" s="17" t="inlineStr">
        <is>
          <t>Assassin's Creed: Brotherhood Mobile</t>
        </is>
      </c>
      <c r="B16" s="18" t="inlineStr">
        <is>
          <t>Mobile / Handheld</t>
        </is>
      </c>
      <c r="C16" s="18" t="inlineStr">
        <is>
          <t>2010-11-16</t>
        </is>
      </c>
      <c r="D16" s="18" t="n">
        <v>2010</v>
      </c>
      <c r="E16" s="17" t="inlineStr">
        <is>
          <t>Ezio Auditore da Firenze</t>
        </is>
      </c>
      <c r="F16" s="17" t="inlineStr">
        <is>
          <t>1503 AD</t>
        </is>
      </c>
      <c r="G16" s="17" t="inlineStr">
        <is>
          <t>High Renaissance</t>
        </is>
      </c>
      <c r="H16" s="17" t="inlineStr">
        <is>
          <t>Rome (Italy)</t>
        </is>
      </c>
      <c r="I16" s="18" t="inlineStr">
        <is>
          <t>Europe</t>
        </is>
      </c>
      <c r="J16" s="17" t="inlineStr">
        <is>
          <t>Mobile (Java ME)</t>
        </is>
      </c>
    </row>
    <row r="17" ht="20" customHeight="1">
      <c r="A17" s="15" t="inlineStr">
        <is>
          <t>AC Brotherhood: The Da Vinci Disappearance</t>
        </is>
      </c>
      <c r="B17" s="16" t="inlineStr">
        <is>
          <t>Major DLC / Expansion</t>
        </is>
      </c>
      <c r="C17" s="16" t="inlineStr">
        <is>
          <t>2011-03-08</t>
        </is>
      </c>
      <c r="D17" s="16" t="n">
        <v>2011</v>
      </c>
      <c r="E17" s="15" t="inlineStr">
        <is>
          <t>Ezio Auditore da Firenze</t>
        </is>
      </c>
      <c r="F17" s="15" t="inlineStr">
        <is>
          <t>1506 AD</t>
        </is>
      </c>
      <c r="G17" s="15" t="inlineStr">
        <is>
          <t>High Renaissance</t>
        </is>
      </c>
      <c r="H17" s="15" t="inlineStr">
        <is>
          <t>Rome (Italy)</t>
        </is>
      </c>
      <c r="I17" s="16" t="inlineStr">
        <is>
          <t>Europe</t>
        </is>
      </c>
      <c r="J17" s="15" t="inlineStr">
        <is>
          <t>PS3, Xbox 360, PC</t>
        </is>
      </c>
    </row>
    <row r="18" ht="20" customHeight="1">
      <c r="A18" s="17" t="inlineStr">
        <is>
          <t>Assassin's Creed Rearmed</t>
        </is>
      </c>
      <c r="B18" s="18" t="inlineStr">
        <is>
          <t>Mobile / Handheld</t>
        </is>
      </c>
      <c r="C18" s="18" t="inlineStr">
        <is>
          <t>2011-10-21</t>
        </is>
      </c>
      <c r="D18" s="18" t="n">
        <v>2011</v>
      </c>
      <c r="E18" s="17" t="inlineStr">
        <is>
          <t>Various Multiplayer Avatars</t>
        </is>
      </c>
      <c r="F18" s="17" t="inlineStr">
        <is>
          <t>16th Century</t>
        </is>
      </c>
      <c r="G18" s="17" t="inlineStr">
        <is>
          <t>Renaissance Era</t>
        </is>
      </c>
      <c r="H18" s="17" t="inlineStr">
        <is>
          <t>Exotic Arenas / Multi-Location</t>
        </is>
      </c>
      <c r="I18" s="18" t="inlineStr">
        <is>
          <t>Multi-Region</t>
        </is>
      </c>
      <c r="J18" s="17" t="inlineStr">
        <is>
          <t>iOS</t>
        </is>
      </c>
    </row>
    <row r="19" ht="20" customHeight="1">
      <c r="A19" s="15" t="inlineStr">
        <is>
          <t>Assassin's Creed: Revelations</t>
        </is>
      </c>
      <c r="B19" s="16" t="inlineStr">
        <is>
          <t>Main Game</t>
        </is>
      </c>
      <c r="C19" s="16" t="inlineStr">
        <is>
          <t>2011-11-15</t>
        </is>
      </c>
      <c r="D19" s="16" t="n">
        <v>2011</v>
      </c>
      <c r="E19" s="15" t="inlineStr">
        <is>
          <t>Ezio Auditore, Altaïr Ibn-La'Ahad</t>
        </is>
      </c>
      <c r="F19" s="15" t="inlineStr">
        <is>
          <t>1511–1512 AD</t>
        </is>
      </c>
      <c r="G19" s="15" t="inlineStr">
        <is>
          <t>Ottoman Renaissance</t>
        </is>
      </c>
      <c r="H19" s="15" t="inlineStr">
        <is>
          <t>Constantinople (Ottoman Empire), Cappadocia</t>
        </is>
      </c>
      <c r="I19" s="16" t="inlineStr">
        <is>
          <t>Europe</t>
        </is>
      </c>
      <c r="J19" s="15" t="inlineStr">
        <is>
          <t>PS3, Xbox 360, PC, PS4, Xbox One, Switch</t>
        </is>
      </c>
    </row>
    <row r="20" ht="20" customHeight="1">
      <c r="A20" s="17" t="inlineStr">
        <is>
          <t>Assassin's Creed: Revelations Mobile</t>
        </is>
      </c>
      <c r="B20" s="18" t="inlineStr">
        <is>
          <t>Mobile / Handheld</t>
        </is>
      </c>
      <c r="C20" s="18" t="inlineStr">
        <is>
          <t>2011-11-15</t>
        </is>
      </c>
      <c r="D20" s="18" t="n">
        <v>2011</v>
      </c>
      <c r="E20" s="17" t="inlineStr">
        <is>
          <t>Ezio Auditore da Firenze</t>
        </is>
      </c>
      <c r="F20" s="17" t="inlineStr">
        <is>
          <t>1511 AD</t>
        </is>
      </c>
      <c r="G20" s="17" t="inlineStr">
        <is>
          <t>Ottoman Renaissance</t>
        </is>
      </c>
      <c r="H20" s="17" t="inlineStr">
        <is>
          <t>Constantinople</t>
        </is>
      </c>
      <c r="I20" s="18" t="inlineStr">
        <is>
          <t>Europe</t>
        </is>
      </c>
      <c r="J20" s="17" t="inlineStr">
        <is>
          <t>Mobile (Java ME)</t>
        </is>
      </c>
    </row>
    <row r="21" ht="20" customHeight="1">
      <c r="A21" s="15" t="inlineStr">
        <is>
          <t>AC Revelations: The Lost Archive</t>
        </is>
      </c>
      <c r="B21" s="16" t="inlineStr">
        <is>
          <t>Major DLC / Expansion</t>
        </is>
      </c>
      <c r="C21" s="16" t="inlineStr">
        <is>
          <t>2012-02-28</t>
        </is>
      </c>
      <c r="D21" s="16" t="n">
        <v>2012</v>
      </c>
      <c r="E21" s="15" t="inlineStr">
        <is>
          <t>Subject 16 (Clay Kaczmarek)</t>
        </is>
      </c>
      <c r="F21" s="15" t="inlineStr">
        <is>
          <t>Modern / First Civilization</t>
        </is>
      </c>
      <c r="G21" s="15" t="inlineStr">
        <is>
          <t>Animus Memory Archive</t>
        </is>
      </c>
      <c r="H21" s="15" t="inlineStr">
        <is>
          <t>Animus</t>
        </is>
      </c>
      <c r="I21" s="16" t="inlineStr">
        <is>
          <t>Multi-Region</t>
        </is>
      </c>
      <c r="J21" s="15" t="inlineStr">
        <is>
          <t>PS3, Xbox 360, PC</t>
        </is>
      </c>
    </row>
    <row r="22" ht="20" customHeight="1">
      <c r="A22" s="17" t="inlineStr">
        <is>
          <t>Assassin's Creed III</t>
        </is>
      </c>
      <c r="B22" s="18" t="inlineStr">
        <is>
          <t>Main Game</t>
        </is>
      </c>
      <c r="C22" s="18" t="inlineStr">
        <is>
          <t>2012-10-30</t>
        </is>
      </c>
      <c r="D22" s="18" t="n">
        <v>2012</v>
      </c>
      <c r="E22" s="17" t="inlineStr">
        <is>
          <t>Ratonhnhaké:ton (Connor Kenway)</t>
        </is>
      </c>
      <c r="F22" s="17" t="inlineStr">
        <is>
          <t>1754–1783 AD</t>
        </is>
      </c>
      <c r="G22" s="17" t="inlineStr">
        <is>
          <t>American Revolution</t>
        </is>
      </c>
      <c r="H22" s="17" t="inlineStr">
        <is>
          <t>Boston, New York, The Frontier (USA)</t>
        </is>
      </c>
      <c r="I22" s="18" t="inlineStr">
        <is>
          <t>North America</t>
        </is>
      </c>
      <c r="J22" s="17" t="inlineStr">
        <is>
          <t>PS3, Xbox 360, PC, Wii U, PS4, Xbox One, Switch</t>
        </is>
      </c>
    </row>
    <row r="23" ht="20" customHeight="1">
      <c r="A23" s="15" t="inlineStr">
        <is>
          <t>Assassin's Creed III: Liberation</t>
        </is>
      </c>
      <c r="B23" s="16" t="inlineStr">
        <is>
          <t>Main Game</t>
        </is>
      </c>
      <c r="C23" s="16" t="inlineStr">
        <is>
          <t>2012-10-30</t>
        </is>
      </c>
      <c r="D23" s="16" t="n">
        <v>2012</v>
      </c>
      <c r="E23" s="15" t="inlineStr">
        <is>
          <t>Aveline de Grandpré</t>
        </is>
      </c>
      <c r="F23" s="15" t="inlineStr">
        <is>
          <t>1765–1777 AD</t>
        </is>
      </c>
      <c r="G23" s="15" t="inlineStr">
        <is>
          <t>French &amp; Indian War / American Revolution</t>
        </is>
      </c>
      <c r="H23" s="15" t="inlineStr">
        <is>
          <t>New Orleans, Louisiana, Chichen Itza</t>
        </is>
      </c>
      <c r="I23" s="16" t="inlineStr">
        <is>
          <t>North America</t>
        </is>
      </c>
      <c r="J23" s="15" t="inlineStr">
        <is>
          <t>PS Vita, PS3, Xbox 360, PC, PS4, Xbox One, Switch</t>
        </is>
      </c>
    </row>
    <row r="24" ht="20" customHeight="1">
      <c r="A24" s="17" t="inlineStr">
        <is>
          <t>Assassin's Creed III Mobile</t>
        </is>
      </c>
      <c r="B24" s="18" t="inlineStr">
        <is>
          <t>Mobile / Handheld</t>
        </is>
      </c>
      <c r="C24" s="18" t="inlineStr">
        <is>
          <t>2012-10-30</t>
        </is>
      </c>
      <c r="D24" s="18" t="n">
        <v>2012</v>
      </c>
      <c r="E24" s="17" t="inlineStr">
        <is>
          <t>Connor Kenway</t>
        </is>
      </c>
      <c r="F24" s="17" t="inlineStr">
        <is>
          <t>1775 AD</t>
        </is>
      </c>
      <c r="G24" s="17" t="inlineStr">
        <is>
          <t>American Revolution</t>
        </is>
      </c>
      <c r="H24" s="17" t="inlineStr">
        <is>
          <t>Boston, Frontier (USA)</t>
        </is>
      </c>
      <c r="I24" s="18" t="inlineStr">
        <is>
          <t>North America</t>
        </is>
      </c>
      <c r="J24" s="17" t="inlineStr">
        <is>
          <t>Mobile (Java ME)</t>
        </is>
      </c>
    </row>
    <row r="25" ht="20" customHeight="1">
      <c r="A25" s="15" t="inlineStr">
        <is>
          <t>AC III: The Tyranny of King Washington</t>
        </is>
      </c>
      <c r="B25" s="16" t="inlineStr">
        <is>
          <t>Major DLC / Expansion</t>
        </is>
      </c>
      <c r="C25" s="16" t="inlineStr">
        <is>
          <t>2013-02-19</t>
        </is>
      </c>
      <c r="D25" s="16" t="n">
        <v>2013</v>
      </c>
      <c r="E25" s="15" t="inlineStr">
        <is>
          <t>Ratonhnhaké:ton (Connor)</t>
        </is>
      </c>
      <c r="F25" s="15" t="inlineStr">
        <is>
          <t>Alternate 1783 AD</t>
        </is>
      </c>
      <c r="G25" s="15" t="inlineStr">
        <is>
          <t>Alternate American History</t>
        </is>
      </c>
      <c r="H25" s="15" t="inlineStr">
        <is>
          <t>Boston, New York, Frontier (USA)</t>
        </is>
      </c>
      <c r="I25" s="16" t="inlineStr">
        <is>
          <t>North America</t>
        </is>
      </c>
      <c r="J25" s="15" t="inlineStr">
        <is>
          <t>PS3, Xbox 360, PC, Wii U</t>
        </is>
      </c>
    </row>
    <row r="26" ht="20" customHeight="1">
      <c r="A26" s="17" t="inlineStr">
        <is>
          <t>Assassin's Creed IV: Black Flag</t>
        </is>
      </c>
      <c r="B26" s="18" t="inlineStr">
        <is>
          <t>Main Game</t>
        </is>
      </c>
      <c r="C26" s="18" t="inlineStr">
        <is>
          <t>2013-10-29</t>
        </is>
      </c>
      <c r="D26" s="18" t="n">
        <v>2013</v>
      </c>
      <c r="E26" s="17" t="inlineStr">
        <is>
          <t>Edward Kenway</t>
        </is>
      </c>
      <c r="F26" s="17" t="inlineStr">
        <is>
          <t>1715–1722 AD</t>
        </is>
      </c>
      <c r="G26" s="17" t="inlineStr">
        <is>
          <t>Golden Age of Piracy</t>
        </is>
      </c>
      <c r="H26" s="17" t="inlineStr">
        <is>
          <t>Havana, Nassau, Kingston, West Indies</t>
        </is>
      </c>
      <c r="I26" s="18" t="inlineStr">
        <is>
          <t>Caribbean</t>
        </is>
      </c>
      <c r="J26" s="17" t="inlineStr">
        <is>
          <t>PS3, Xbox 360, Wii U, PC, PS4, Xbox One, Switch</t>
        </is>
      </c>
    </row>
    <row r="27" ht="20" customHeight="1">
      <c r="A27" s="15" t="inlineStr">
        <is>
          <t>Assassin's Creed IV: Black Flag Mobile</t>
        </is>
      </c>
      <c r="B27" s="16" t="inlineStr">
        <is>
          <t>Mobile / Handheld</t>
        </is>
      </c>
      <c r="C27" s="16" t="inlineStr">
        <is>
          <t>2013-10-29</t>
        </is>
      </c>
      <c r="D27" s="16" t="n">
        <v>2013</v>
      </c>
      <c r="E27" s="15" t="inlineStr">
        <is>
          <t>Edward Kenway</t>
        </is>
      </c>
      <c r="F27" s="15" t="inlineStr">
        <is>
          <t>1715 AD</t>
        </is>
      </c>
      <c r="G27" s="15" t="inlineStr">
        <is>
          <t>Golden Age of Piracy</t>
        </is>
      </c>
      <c r="H27" s="15" t="inlineStr">
        <is>
          <t>Caribbean Sea</t>
        </is>
      </c>
      <c r="I27" s="16" t="inlineStr">
        <is>
          <t>Caribbean</t>
        </is>
      </c>
      <c r="J27" s="15" t="inlineStr">
        <is>
          <t>Mobile (Java ME)</t>
        </is>
      </c>
    </row>
    <row r="28" ht="20" customHeight="1">
      <c r="A28" s="17" t="inlineStr">
        <is>
          <t>Assassin's Creed: Pirates</t>
        </is>
      </c>
      <c r="B28" s="18" t="inlineStr">
        <is>
          <t>Mobile / Handheld</t>
        </is>
      </c>
      <c r="C28" s="18" t="inlineStr">
        <is>
          <t>2013-12-05</t>
        </is>
      </c>
      <c r="D28" s="18" t="n">
        <v>2013</v>
      </c>
      <c r="E28" s="17" t="inlineStr">
        <is>
          <t>Alonzo Batilla</t>
        </is>
      </c>
      <c r="F28" s="17" t="inlineStr">
        <is>
          <t>1716–1718 AD</t>
        </is>
      </c>
      <c r="G28" s="17" t="inlineStr">
        <is>
          <t>Golden Age of Piracy</t>
        </is>
      </c>
      <c r="H28" s="17" t="inlineStr">
        <is>
          <t>Caribbean Sea</t>
        </is>
      </c>
      <c r="I28" s="18" t="inlineStr">
        <is>
          <t>Caribbean</t>
        </is>
      </c>
      <c r="J28" s="17" t="inlineStr">
        <is>
          <t>iOS, Android, Windows, Web Browser</t>
        </is>
      </c>
    </row>
    <row r="29" ht="20" customHeight="1">
      <c r="A29" s="15" t="inlineStr">
        <is>
          <t>AC IV: Freedom Cry</t>
        </is>
      </c>
      <c r="B29" s="16" t="inlineStr">
        <is>
          <t>Major DLC / Expansion</t>
        </is>
      </c>
      <c r="C29" s="16" t="inlineStr">
        <is>
          <t>2013-12-17</t>
        </is>
      </c>
      <c r="D29" s="16" t="n">
        <v>2013</v>
      </c>
      <c r="E29" s="15" t="inlineStr">
        <is>
          <t>Adéwalé</t>
        </is>
      </c>
      <c r="F29" s="15" t="inlineStr">
        <is>
          <t>1735–1737 AD</t>
        </is>
      </c>
      <c r="G29" s="15" t="inlineStr">
        <is>
          <t>Golden Age of Piracy / Plantation Era</t>
        </is>
      </c>
      <c r="H29" s="15" t="inlineStr">
        <is>
          <t>Saint-Domingue (Haiti)</t>
        </is>
      </c>
      <c r="I29" s="16" t="inlineStr">
        <is>
          <t>Caribbean</t>
        </is>
      </c>
      <c r="J29" s="15" t="inlineStr">
        <is>
          <t>PS3, PS4, Xbox 360, Xbox One, PC</t>
        </is>
      </c>
    </row>
    <row r="30" ht="20" customHeight="1">
      <c r="A30" s="17" t="inlineStr">
        <is>
          <t>Assassin's Creed Memories</t>
        </is>
      </c>
      <c r="B30" s="18" t="inlineStr">
        <is>
          <t>Mobile / Handheld</t>
        </is>
      </c>
      <c r="C30" s="18" t="inlineStr">
        <is>
          <t>2014-08-21</t>
        </is>
      </c>
      <c r="D30" s="18" t="n">
        <v>2014</v>
      </c>
      <c r="E30" s="17" t="inlineStr">
        <is>
          <t>Custom Abstergo Agent</t>
        </is>
      </c>
      <c r="F30" s="17" t="inlineStr">
        <is>
          <t>Multi-Era</t>
        </is>
      </c>
      <c r="G30" s="17" t="inlineStr">
        <is>
          <t>Feudal Japan, Mongol Empire, Renaissance</t>
        </is>
      </c>
      <c r="H30" s="17" t="inlineStr">
        <is>
          <t>Japan, Europe, Asia</t>
        </is>
      </c>
      <c r="I30" s="18" t="inlineStr">
        <is>
          <t>Multi-Region</t>
        </is>
      </c>
      <c r="J30" s="17" t="inlineStr">
        <is>
          <t>iOS</t>
        </is>
      </c>
    </row>
    <row r="31" ht="20" customHeight="1">
      <c r="A31" s="15" t="inlineStr">
        <is>
          <t>Assassin's Creed Rogue</t>
        </is>
      </c>
      <c r="B31" s="16" t="inlineStr">
        <is>
          <t>Main Game</t>
        </is>
      </c>
      <c r="C31" s="16" t="inlineStr">
        <is>
          <t>2014-11-11</t>
        </is>
      </c>
      <c r="D31" s="16" t="n">
        <v>2014</v>
      </c>
      <c r="E31" s="15" t="inlineStr">
        <is>
          <t>Shay Patrick Cormac</t>
        </is>
      </c>
      <c r="F31" s="15" t="inlineStr">
        <is>
          <t>1752–1760 AD</t>
        </is>
      </c>
      <c r="G31" s="15" t="inlineStr">
        <is>
          <t>Seven Years' War</t>
        </is>
      </c>
      <c r="H31" s="15" t="inlineStr">
        <is>
          <t>New York, River Valley, North Atlantic</t>
        </is>
      </c>
      <c r="I31" s="16" t="inlineStr">
        <is>
          <t>North America</t>
        </is>
      </c>
      <c r="J31" s="15" t="inlineStr">
        <is>
          <t>PS3, Xbox 360, PC, PS4, Xbox One, Switch</t>
        </is>
      </c>
    </row>
    <row r="32" ht="20" customHeight="1">
      <c r="A32" s="17" t="inlineStr">
        <is>
          <t>Assassin's Creed Unity</t>
        </is>
      </c>
      <c r="B32" s="18" t="inlineStr">
        <is>
          <t>Main Game</t>
        </is>
      </c>
      <c r="C32" s="18" t="inlineStr">
        <is>
          <t>2014-11-11</t>
        </is>
      </c>
      <c r="D32" s="18" t="n">
        <v>2014</v>
      </c>
      <c r="E32" s="17" t="inlineStr">
        <is>
          <t>Arno Dorian</t>
        </is>
      </c>
      <c r="F32" s="17" t="inlineStr">
        <is>
          <t>1789–1794 AD</t>
        </is>
      </c>
      <c r="G32" s="17" t="inlineStr">
        <is>
          <t>French Revolution</t>
        </is>
      </c>
      <c r="H32" s="17" t="inlineStr">
        <is>
          <t>Paris, Saint-Denis (France)</t>
        </is>
      </c>
      <c r="I32" s="18" t="inlineStr">
        <is>
          <t>Europe</t>
        </is>
      </c>
      <c r="J32" s="17" t="inlineStr">
        <is>
          <t>PC, PS4, Xbox One</t>
        </is>
      </c>
    </row>
    <row r="33" ht="20" customHeight="1">
      <c r="A33" s="15" t="inlineStr">
        <is>
          <t>Assassin's Creed Rogue Mobile</t>
        </is>
      </c>
      <c r="B33" s="16" t="inlineStr">
        <is>
          <t>Mobile / Handheld</t>
        </is>
      </c>
      <c r="C33" s="16" t="inlineStr">
        <is>
          <t>2014-11-11</t>
        </is>
      </c>
      <c r="D33" s="16" t="n">
        <v>2014</v>
      </c>
      <c r="E33" s="15" t="inlineStr">
        <is>
          <t>Shay Patrick Cormac</t>
        </is>
      </c>
      <c r="F33" s="15" t="inlineStr">
        <is>
          <t>1752 AD</t>
        </is>
      </c>
      <c r="G33" s="15" t="inlineStr">
        <is>
          <t>Seven Years' War</t>
        </is>
      </c>
      <c r="H33" s="15" t="inlineStr">
        <is>
          <t>North America</t>
        </is>
      </c>
      <c r="I33" s="16" t="inlineStr">
        <is>
          <t>North America</t>
        </is>
      </c>
      <c r="J33" s="15" t="inlineStr">
        <is>
          <t>Mobile (Java ME)</t>
        </is>
      </c>
    </row>
    <row r="34" ht="20" customHeight="1">
      <c r="A34" s="17" t="inlineStr">
        <is>
          <t>Assassin's Creed Unity Mobile</t>
        </is>
      </c>
      <c r="B34" s="18" t="inlineStr">
        <is>
          <t>Mobile / Handheld</t>
        </is>
      </c>
      <c r="C34" s="18" t="inlineStr">
        <is>
          <t>2014-11-11</t>
        </is>
      </c>
      <c r="D34" s="18" t="n">
        <v>2014</v>
      </c>
      <c r="E34" s="17" t="inlineStr">
        <is>
          <t>Arno Dorian</t>
        </is>
      </c>
      <c r="F34" s="17" t="inlineStr">
        <is>
          <t>1789 AD</t>
        </is>
      </c>
      <c r="G34" s="17" t="inlineStr">
        <is>
          <t>French Revolution</t>
        </is>
      </c>
      <c r="H34" s="17" t="inlineStr">
        <is>
          <t>Paris (France)</t>
        </is>
      </c>
      <c r="I34" s="18" t="inlineStr">
        <is>
          <t>Europe</t>
        </is>
      </c>
      <c r="J34" s="17" t="inlineStr">
        <is>
          <t>Mobile (Java ME)</t>
        </is>
      </c>
    </row>
    <row r="35" ht="20" customHeight="1">
      <c r="A35" s="15" t="inlineStr">
        <is>
          <t>AC Rogue: Siege of Fort de Sable</t>
        </is>
      </c>
      <c r="B35" s="16" t="inlineStr">
        <is>
          <t>Major DLC / Expansion</t>
        </is>
      </c>
      <c r="C35" s="16" t="inlineStr">
        <is>
          <t>2014-11-11</t>
        </is>
      </c>
      <c r="D35" s="16" t="n">
        <v>2014</v>
      </c>
      <c r="E35" s="15" t="inlineStr">
        <is>
          <t>Shay Patrick Cormac</t>
        </is>
      </c>
      <c r="F35" s="15" t="inlineStr">
        <is>
          <t>1756 AD</t>
        </is>
      </c>
      <c r="G35" s="15" t="inlineStr">
        <is>
          <t>Seven Years' War</t>
        </is>
      </c>
      <c r="H35" s="15" t="inlineStr">
        <is>
          <t>Fort de Sable (North Atlantic)</t>
        </is>
      </c>
      <c r="I35" s="16" t="inlineStr">
        <is>
          <t>North America</t>
        </is>
      </c>
      <c r="J35" s="15" t="inlineStr">
        <is>
          <t>PS3, Xbox 360, PC</t>
        </is>
      </c>
    </row>
    <row r="36" ht="20" customHeight="1">
      <c r="A36" s="17" t="inlineStr">
        <is>
          <t>AC Unity: Dead Kings</t>
        </is>
      </c>
      <c r="B36" s="18" t="inlineStr">
        <is>
          <t>Major DLC / Expansion</t>
        </is>
      </c>
      <c r="C36" s="18" t="inlineStr">
        <is>
          <t>2015-01-13</t>
        </is>
      </c>
      <c r="D36" s="18" t="n">
        <v>2015</v>
      </c>
      <c r="E36" s="17" t="inlineStr">
        <is>
          <t>Arno Dorian</t>
        </is>
      </c>
      <c r="F36" s="17" t="inlineStr">
        <is>
          <t>1794 AD</t>
        </is>
      </c>
      <c r="G36" s="17" t="inlineStr">
        <is>
          <t>French Revolution / Reign of Terror</t>
        </is>
      </c>
      <c r="H36" s="17" t="inlineStr">
        <is>
          <t>Saint-Denis (France)</t>
        </is>
      </c>
      <c r="I36" s="18" t="inlineStr">
        <is>
          <t>Europe</t>
        </is>
      </c>
      <c r="J36" s="17" t="inlineStr">
        <is>
          <t>PC, PS4, Xbox One</t>
        </is>
      </c>
    </row>
    <row r="37" ht="20" customHeight="1">
      <c r="A37" s="15" t="inlineStr">
        <is>
          <t>Assassin's Creed Chronicles: China</t>
        </is>
      </c>
      <c r="B37" s="16" t="inlineStr">
        <is>
          <t>Spin-Off</t>
        </is>
      </c>
      <c r="C37" s="16" t="inlineStr">
        <is>
          <t>2015-04-21</t>
        </is>
      </c>
      <c r="D37" s="16" t="n">
        <v>2015</v>
      </c>
      <c r="E37" s="15" t="inlineStr">
        <is>
          <t>Shao Jun</t>
        </is>
      </c>
      <c r="F37" s="15" t="inlineStr">
        <is>
          <t>1526 AD</t>
        </is>
      </c>
      <c r="G37" s="15" t="inlineStr">
        <is>
          <t>Ming Dynasty</t>
        </is>
      </c>
      <c r="H37" s="15" t="inlineStr">
        <is>
          <t>Beijing, Luoyang (China)</t>
        </is>
      </c>
      <c r="I37" s="16" t="inlineStr">
        <is>
          <t>Asia</t>
        </is>
      </c>
      <c r="J37" s="15" t="inlineStr">
        <is>
          <t>PC, PS4, Xbox One, PS Vita</t>
        </is>
      </c>
    </row>
    <row r="38" ht="20" customHeight="1">
      <c r="A38" s="17" t="inlineStr">
        <is>
          <t>Assassin's Creed Syndicate</t>
        </is>
      </c>
      <c r="B38" s="18" t="inlineStr">
        <is>
          <t>Main Game</t>
        </is>
      </c>
      <c r="C38" s="18" t="inlineStr">
        <is>
          <t>2015-10-23</t>
        </is>
      </c>
      <c r="D38" s="18" t="n">
        <v>2015</v>
      </c>
      <c r="E38" s="17" t="inlineStr">
        <is>
          <t>Jacob Frye, Evie Frye</t>
        </is>
      </c>
      <c r="F38" s="17" t="inlineStr">
        <is>
          <t>1868 AD</t>
        </is>
      </c>
      <c r="G38" s="17" t="inlineStr">
        <is>
          <t>Victorian Era / Industrial Revolution</t>
        </is>
      </c>
      <c r="H38" s="17" t="inlineStr">
        <is>
          <t>London (England, UK)</t>
        </is>
      </c>
      <c r="I38" s="18" t="inlineStr">
        <is>
          <t>Europe</t>
        </is>
      </c>
      <c r="J38" s="17" t="inlineStr">
        <is>
          <t>PC, PS4, Xbox One, PS5, Xbox Series X/S</t>
        </is>
      </c>
    </row>
    <row r="39" ht="20" customHeight="1">
      <c r="A39" s="15" t="inlineStr">
        <is>
          <t>Assassin's Creed Syndicate Mobile</t>
        </is>
      </c>
      <c r="B39" s="16" t="inlineStr">
        <is>
          <t>Mobile / Handheld</t>
        </is>
      </c>
      <c r="C39" s="16" t="inlineStr">
        <is>
          <t>2015-10-23</t>
        </is>
      </c>
      <c r="D39" s="16" t="n">
        <v>2015</v>
      </c>
      <c r="E39" s="15" t="inlineStr">
        <is>
          <t>Jacob Frye, Evie Frye</t>
        </is>
      </c>
      <c r="F39" s="15" t="inlineStr">
        <is>
          <t>1868 AD</t>
        </is>
      </c>
      <c r="G39" s="15" t="inlineStr">
        <is>
          <t>Victorian Era</t>
        </is>
      </c>
      <c r="H39" s="15" t="inlineStr">
        <is>
          <t>London (UK)</t>
        </is>
      </c>
      <c r="I39" s="16" t="inlineStr">
        <is>
          <t>Europe</t>
        </is>
      </c>
      <c r="J39" s="15" t="inlineStr">
        <is>
          <t>Mobile (Java ME)</t>
        </is>
      </c>
    </row>
    <row r="40" ht="20" customHeight="1">
      <c r="A40" s="17" t="inlineStr">
        <is>
          <t>AC Syndicate: Jack the Ripper</t>
        </is>
      </c>
      <c r="B40" s="18" t="inlineStr">
        <is>
          <t>Major DLC / Expansion</t>
        </is>
      </c>
      <c r="C40" s="18" t="inlineStr">
        <is>
          <t>2015-12-15</t>
        </is>
      </c>
      <c r="D40" s="18" t="n">
        <v>2015</v>
      </c>
      <c r="E40" s="17" t="inlineStr">
        <is>
          <t>Evie Frye</t>
        </is>
      </c>
      <c r="F40" s="17" t="inlineStr">
        <is>
          <t>1888 AD</t>
        </is>
      </c>
      <c r="G40" s="17" t="inlineStr">
        <is>
          <t>Victorian London / Autumn of Terror</t>
        </is>
      </c>
      <c r="H40" s="17" t="inlineStr">
        <is>
          <t>Whitechapel, London (England, UK)</t>
        </is>
      </c>
      <c r="I40" s="18" t="inlineStr">
        <is>
          <t>Europe</t>
        </is>
      </c>
      <c r="J40" s="17" t="inlineStr">
        <is>
          <t>PC, PS4, Xbox One</t>
        </is>
      </c>
    </row>
    <row r="41" ht="20" customHeight="1">
      <c r="A41" s="15" t="inlineStr">
        <is>
          <t>Assassin's Creed Chronicles: India</t>
        </is>
      </c>
      <c r="B41" s="16" t="inlineStr">
        <is>
          <t>Spin-Off</t>
        </is>
      </c>
      <c r="C41" s="16" t="inlineStr">
        <is>
          <t>2016-01-12</t>
        </is>
      </c>
      <c r="D41" s="16" t="n">
        <v>2016</v>
      </c>
      <c r="E41" s="15" t="inlineStr">
        <is>
          <t>Arbaaz Mir</t>
        </is>
      </c>
      <c r="F41" s="15" t="inlineStr">
        <is>
          <t>1841 AD</t>
        </is>
      </c>
      <c r="G41" s="15" t="inlineStr">
        <is>
          <t>Sikh Empire / East India Company</t>
        </is>
      </c>
      <c r="H41" s="15" t="inlineStr">
        <is>
          <t>Amritsar (India)</t>
        </is>
      </c>
      <c r="I41" s="16" t="inlineStr">
        <is>
          <t>Asia</t>
        </is>
      </c>
      <c r="J41" s="15" t="inlineStr">
        <is>
          <t>PC, PS4, Xbox One, PS Vita</t>
        </is>
      </c>
    </row>
    <row r="42" ht="20" customHeight="1">
      <c r="A42" s="17" t="inlineStr">
        <is>
          <t>Assassin's Creed Chronicles: Russia</t>
        </is>
      </c>
      <c r="B42" s="18" t="inlineStr">
        <is>
          <t>Spin-Off</t>
        </is>
      </c>
      <c r="C42" s="18" t="inlineStr">
        <is>
          <t>2016-02-09</t>
        </is>
      </c>
      <c r="D42" s="18" t="n">
        <v>2016</v>
      </c>
      <c r="E42" s="17" t="inlineStr">
        <is>
          <t>Nikolai Orelov</t>
        </is>
      </c>
      <c r="F42" s="17" t="inlineStr">
        <is>
          <t>1918 AD</t>
        </is>
      </c>
      <c r="G42" s="17" t="inlineStr">
        <is>
          <t>Russian Revolution / Red Terror</t>
        </is>
      </c>
      <c r="H42" s="17" t="inlineStr">
        <is>
          <t>Yekaterinburg, Moscow (Russia)</t>
        </is>
      </c>
      <c r="I42" s="18" t="inlineStr">
        <is>
          <t>Europe</t>
        </is>
      </c>
      <c r="J42" s="17" t="inlineStr">
        <is>
          <t>PC, PS4, Xbox One, PS Vita</t>
        </is>
      </c>
    </row>
    <row r="43" ht="20" customHeight="1">
      <c r="A43" s="15" t="inlineStr">
        <is>
          <t>Assassin's Creed Identity</t>
        </is>
      </c>
      <c r="B43" s="16" t="inlineStr">
        <is>
          <t>Mobile / Handheld</t>
        </is>
      </c>
      <c r="C43" s="16" t="inlineStr">
        <is>
          <t>2016-02-25</t>
        </is>
      </c>
      <c r="D43" s="16" t="n">
        <v>2016</v>
      </c>
      <c r="E43" s="15" t="inlineStr">
        <is>
          <t>Custom Assassin</t>
        </is>
      </c>
      <c r="F43" s="15" t="inlineStr">
        <is>
          <t>15th Century</t>
        </is>
      </c>
      <c r="G43" s="15" t="inlineStr">
        <is>
          <t>Italian Renaissance</t>
        </is>
      </c>
      <c r="H43" s="15" t="inlineStr">
        <is>
          <t>Florence, Rome, Forlì (Italy)</t>
        </is>
      </c>
      <c r="I43" s="16" t="inlineStr">
        <is>
          <t>Europe</t>
        </is>
      </c>
      <c r="J43" s="15" t="inlineStr">
        <is>
          <t>iOS, Android</t>
        </is>
      </c>
    </row>
    <row r="44" ht="20" customHeight="1">
      <c r="A44" s="17" t="inlineStr">
        <is>
          <t>AC Syndicate: The Last Maharaja</t>
        </is>
      </c>
      <c r="B44" s="18" t="inlineStr">
        <is>
          <t>Major DLC / Expansion</t>
        </is>
      </c>
      <c r="C44" s="18" t="inlineStr">
        <is>
          <t>2016-03-01</t>
        </is>
      </c>
      <c r="D44" s="18" t="n">
        <v>2016</v>
      </c>
      <c r="E44" s="17" t="inlineStr">
        <is>
          <t>Jacob Frye, Evie Frye, Duleep Singh</t>
        </is>
      </c>
      <c r="F44" s="17" t="inlineStr">
        <is>
          <t>1868 AD</t>
        </is>
      </c>
      <c r="G44" s="17" t="inlineStr">
        <is>
          <t>Victorian Era / British Raj</t>
        </is>
      </c>
      <c r="H44" s="17" t="inlineStr">
        <is>
          <t>London (England, UK)</t>
        </is>
      </c>
      <c r="I44" s="18" t="inlineStr">
        <is>
          <t>Europe</t>
        </is>
      </c>
      <c r="J44" s="17" t="inlineStr">
        <is>
          <t>PC, PS4, Xbox One</t>
        </is>
      </c>
    </row>
    <row r="45" ht="20" customHeight="1">
      <c r="A45" s="15" t="inlineStr">
        <is>
          <t>Assassin's Creed Online: Alliance</t>
        </is>
      </c>
      <c r="B45" s="16" t="inlineStr">
        <is>
          <t>Browser / Social</t>
        </is>
      </c>
      <c r="C45" s="16" t="inlineStr">
        <is>
          <t>2017-07-01</t>
        </is>
      </c>
      <c r="D45" s="16" t="n">
        <v>2017</v>
      </c>
      <c r="E45" s="15" t="inlineStr">
        <is>
          <t>Custom Assassin</t>
        </is>
      </c>
      <c r="F45" s="15" t="inlineStr">
        <is>
          <t>15th Century</t>
        </is>
      </c>
      <c r="G45" s="15" t="inlineStr">
        <is>
          <t>Italian Renaissance</t>
        </is>
      </c>
      <c r="H45" s="15" t="inlineStr">
        <is>
          <t>Italy</t>
        </is>
      </c>
      <c r="I45" s="16" t="inlineStr">
        <is>
          <t>Europe</t>
        </is>
      </c>
      <c r="J45" s="15" t="inlineStr">
        <is>
          <t>Web Browser (China)</t>
        </is>
      </c>
    </row>
    <row r="46" ht="20" customHeight="1">
      <c r="A46" s="17" t="inlineStr">
        <is>
          <t>Assassin's Creed Origins</t>
        </is>
      </c>
      <c r="B46" s="18" t="inlineStr">
        <is>
          <t>Main Game</t>
        </is>
      </c>
      <c r="C46" s="18" t="inlineStr">
        <is>
          <t>2017-10-27</t>
        </is>
      </c>
      <c r="D46" s="18" t="n">
        <v>2017</v>
      </c>
      <c r="E46" s="17" t="inlineStr">
        <is>
          <t>Bayek of Siwa, Aya of Alexandria</t>
        </is>
      </c>
      <c r="F46" s="17" t="inlineStr">
        <is>
          <t>49–47 BC</t>
        </is>
      </c>
      <c r="G46" s="17" t="inlineStr">
        <is>
          <t>Ptolemaic Period (Ancient Egypt)</t>
        </is>
      </c>
      <c r="H46" s="17" t="inlineStr">
        <is>
          <t>Alexandria, Memphis, Siwa, Giza (Egypt)</t>
        </is>
      </c>
      <c r="I46" s="18" t="inlineStr">
        <is>
          <t>Africa</t>
        </is>
      </c>
      <c r="J46" s="17" t="inlineStr">
        <is>
          <t>PC, PS4, Xbox One, Stadia</t>
        </is>
      </c>
    </row>
    <row r="47" ht="20" customHeight="1">
      <c r="A47" s="15" t="inlineStr">
        <is>
          <t>AC Origins: The Hidden Ones</t>
        </is>
      </c>
      <c r="B47" s="16" t="inlineStr">
        <is>
          <t>Major DLC / Expansion</t>
        </is>
      </c>
      <c r="C47" s="16" t="inlineStr">
        <is>
          <t>2018-01-23</t>
        </is>
      </c>
      <c r="D47" s="16" t="n">
        <v>2018</v>
      </c>
      <c r="E47" s="15" t="inlineStr">
        <is>
          <t>Bayek of Siwa</t>
        </is>
      </c>
      <c r="F47" s="15" t="inlineStr">
        <is>
          <t>38 BC</t>
        </is>
      </c>
      <c r="G47" s="15" t="inlineStr">
        <is>
          <t>Roman Occupation of Egypt</t>
        </is>
      </c>
      <c r="H47" s="15" t="inlineStr">
        <is>
          <t>Sinai Peninsula (Egypt)</t>
        </is>
      </c>
      <c r="I47" s="16" t="inlineStr">
        <is>
          <t>Middle East</t>
        </is>
      </c>
      <c r="J47" s="15" t="inlineStr">
        <is>
          <t>PC, PS4, Xbox One</t>
        </is>
      </c>
    </row>
    <row r="48" ht="20" customHeight="1">
      <c r="A48" s="17" t="inlineStr">
        <is>
          <t>AC Origins: The Curse of the Pharaohs</t>
        </is>
      </c>
      <c r="B48" s="18" t="inlineStr">
        <is>
          <t>Major DLC / Expansion</t>
        </is>
      </c>
      <c r="C48" s="18" t="inlineStr">
        <is>
          <t>2018-03-13</t>
        </is>
      </c>
      <c r="D48" s="18" t="n">
        <v>2018</v>
      </c>
      <c r="E48" s="17" t="inlineStr">
        <is>
          <t>Bayek of Siwa</t>
        </is>
      </c>
      <c r="F48" s="17" t="inlineStr">
        <is>
          <t>34 BC</t>
        </is>
      </c>
      <c r="G48" s="17" t="inlineStr">
        <is>
          <t>Ancient Egyptian Mythology &amp; Roman Era</t>
        </is>
      </c>
      <c r="H48" s="17" t="inlineStr">
        <is>
          <t>Thebes, Valley of the Kings (Egypt)</t>
        </is>
      </c>
      <c r="I48" s="18" t="inlineStr">
        <is>
          <t>Africa</t>
        </is>
      </c>
      <c r="J48" s="17" t="inlineStr">
        <is>
          <t>PC, PS4, Xbox One</t>
        </is>
      </c>
    </row>
    <row r="49" ht="20" customHeight="1">
      <c r="A49" s="15" t="inlineStr">
        <is>
          <t>Assassin's Creed Odyssey</t>
        </is>
      </c>
      <c r="B49" s="16" t="inlineStr">
        <is>
          <t>Main Game</t>
        </is>
      </c>
      <c r="C49" s="16" t="inlineStr">
        <is>
          <t>2018-10-05</t>
        </is>
      </c>
      <c r="D49" s="16" t="n">
        <v>2018</v>
      </c>
      <c r="E49" s="15" t="inlineStr">
        <is>
          <t>Kassandra / Alexios</t>
        </is>
      </c>
      <c r="F49" s="15" t="inlineStr">
        <is>
          <t>431–422 BC</t>
        </is>
      </c>
      <c r="G49" s="15" t="inlineStr">
        <is>
          <t>Peloponnesian War (Ancient Greece)</t>
        </is>
      </c>
      <c r="H49" s="15" t="inlineStr">
        <is>
          <t>Athens, Sparta, Kephallonia, Aegean Islands (Greece)</t>
        </is>
      </c>
      <c r="I49" s="16" t="inlineStr">
        <is>
          <t>Europe</t>
        </is>
      </c>
      <c r="J49" s="15" t="inlineStr">
        <is>
          <t>PC, PS4, Xbox One, Switch, Stadia</t>
        </is>
      </c>
    </row>
    <row r="50" ht="20" customHeight="1">
      <c r="A50" s="17" t="inlineStr">
        <is>
          <t>Assassin's Creed Rebellion</t>
        </is>
      </c>
      <c r="B50" s="18" t="inlineStr">
        <is>
          <t>Mobile / Handheld</t>
        </is>
      </c>
      <c r="C50" s="18" t="inlineStr">
        <is>
          <t>2018-11-20</t>
        </is>
      </c>
      <c r="D50" s="18" t="n">
        <v>2018</v>
      </c>
      <c r="E50" s="17" t="inlineStr">
        <is>
          <t>Aguilar de Nerha, Ezio, Various</t>
        </is>
      </c>
      <c r="F50" s="17" t="inlineStr">
        <is>
          <t>15th Century</t>
        </is>
      </c>
      <c r="G50" s="17" t="inlineStr">
        <is>
          <t>Spanish Inquisition</t>
        </is>
      </c>
      <c r="H50" s="17" t="inlineStr">
        <is>
          <t>Spain, Multi-Location</t>
        </is>
      </c>
      <c r="I50" s="18" t="inlineStr">
        <is>
          <t>Europe</t>
        </is>
      </c>
      <c r="J50" s="17" t="inlineStr">
        <is>
          <t>iOS, Android</t>
        </is>
      </c>
    </row>
    <row r="51" ht="20" customHeight="1">
      <c r="A51" s="15" t="inlineStr">
        <is>
          <t>AC Odyssey: Legacy of the First Blade</t>
        </is>
      </c>
      <c r="B51" s="16" t="inlineStr">
        <is>
          <t>Major DLC / Expansion</t>
        </is>
      </c>
      <c r="C51" s="16" t="inlineStr">
        <is>
          <t>2018-12-04</t>
        </is>
      </c>
      <c r="D51" s="16" t="n">
        <v>2018</v>
      </c>
      <c r="E51" s="15" t="inlineStr">
        <is>
          <t>Kassandra / Alexios</t>
        </is>
      </c>
      <c r="F51" s="15" t="inlineStr">
        <is>
          <t>~430 BC</t>
        </is>
      </c>
      <c r="G51" s="15" t="inlineStr">
        <is>
          <t>Peloponnesian War Era</t>
        </is>
      </c>
      <c r="H51" s="15" t="inlineStr">
        <is>
          <t>Macedonia, Achaia, Messenia (Greece)</t>
        </is>
      </c>
      <c r="I51" s="16" t="inlineStr">
        <is>
          <t>Europe</t>
        </is>
      </c>
      <c r="J51" s="15" t="inlineStr">
        <is>
          <t>PC, PS4, Xbox One</t>
        </is>
      </c>
    </row>
    <row r="52" ht="20" customHeight="1">
      <c r="A52" s="17" t="inlineStr">
        <is>
          <t>AC Odyssey: The Fate of Atlantis</t>
        </is>
      </c>
      <c r="B52" s="18" t="inlineStr">
        <is>
          <t>Major DLC / Expansion</t>
        </is>
      </c>
      <c r="C52" s="18" t="inlineStr">
        <is>
          <t>2019-04-23</t>
        </is>
      </c>
      <c r="D52" s="18" t="n">
        <v>2019</v>
      </c>
      <c r="E52" s="17" t="inlineStr">
        <is>
          <t>Kassandra / Alexios</t>
        </is>
      </c>
      <c r="F52" s="17" t="inlineStr">
        <is>
          <t>Mythological / ~430 BC</t>
        </is>
      </c>
      <c r="G52" s="17" t="inlineStr">
        <is>
          <t>Greek Mythology &amp; Isu Lore</t>
        </is>
      </c>
      <c r="H52" s="17" t="inlineStr">
        <is>
          <t>Elysium, Underworld, Atlantis</t>
        </is>
      </c>
      <c r="I52" s="18" t="inlineStr">
        <is>
          <t>Europe</t>
        </is>
      </c>
      <c r="J52" s="17" t="inlineStr">
        <is>
          <t>PC, PS4, Xbox One</t>
        </is>
      </c>
    </row>
    <row r="53" ht="20" customHeight="1">
      <c r="A53" s="15" t="inlineStr">
        <is>
          <t>Assassin's Creed Valhalla</t>
        </is>
      </c>
      <c r="B53" s="16" t="inlineStr">
        <is>
          <t>Main Game</t>
        </is>
      </c>
      <c r="C53" s="16" t="inlineStr">
        <is>
          <t>2020-11-10</t>
        </is>
      </c>
      <c r="D53" s="16" t="n">
        <v>2020</v>
      </c>
      <c r="E53" s="15" t="inlineStr">
        <is>
          <t>Eivor Varinsdottir</t>
        </is>
      </c>
      <c r="F53" s="15" t="inlineStr">
        <is>
          <t>872–878 AD</t>
        </is>
      </c>
      <c r="G53" s="15" t="inlineStr">
        <is>
          <t>Viking Expansion / Anglo-Saxon Era</t>
        </is>
      </c>
      <c r="H53" s="15" t="inlineStr">
        <is>
          <t>Norway, England, Ireland, Francia, Vinland</t>
        </is>
      </c>
      <c r="I53" s="16" t="inlineStr">
        <is>
          <t>Europe</t>
        </is>
      </c>
      <c r="J53" s="15" t="inlineStr">
        <is>
          <t>PC, PS4, PS5, Xbox One, Xbox Series X/S, Stadia</t>
        </is>
      </c>
    </row>
    <row r="54" ht="20" customHeight="1">
      <c r="A54" s="17" t="inlineStr">
        <is>
          <t>AC Valhalla: Wrath of the Druids</t>
        </is>
      </c>
      <c r="B54" s="18" t="inlineStr">
        <is>
          <t>Major DLC / Expansion</t>
        </is>
      </c>
      <c r="C54" s="18" t="inlineStr">
        <is>
          <t>2021-05-13</t>
        </is>
      </c>
      <c r="D54" s="18" t="n">
        <v>2021</v>
      </c>
      <c r="E54" s="17" t="inlineStr">
        <is>
          <t>Eivor Varinsdottir</t>
        </is>
      </c>
      <c r="F54" s="17" t="inlineStr">
        <is>
          <t>879 AD</t>
        </is>
      </c>
      <c r="G54" s="17" t="inlineStr">
        <is>
          <t>Gaelic Ireland / Viking Age</t>
        </is>
      </c>
      <c r="H54" s="17" t="inlineStr">
        <is>
          <t>Dublin, Meath, Connacht, Ulster (Ireland)</t>
        </is>
      </c>
      <c r="I54" s="18" t="inlineStr">
        <is>
          <t>Europe</t>
        </is>
      </c>
      <c r="J54" s="17" t="inlineStr">
        <is>
          <t>PC, PS4, PS5, Xbox One, Xbox Series X/S</t>
        </is>
      </c>
    </row>
    <row r="55" ht="20" customHeight="1">
      <c r="A55" s="15" t="inlineStr">
        <is>
          <t>AC Valhalla: The Siege of Paris</t>
        </is>
      </c>
      <c r="B55" s="16" t="inlineStr">
        <is>
          <t>Major DLC / Expansion</t>
        </is>
      </c>
      <c r="C55" s="16" t="inlineStr">
        <is>
          <t>2021-08-12</t>
        </is>
      </c>
      <c r="D55" s="16" t="n">
        <v>2021</v>
      </c>
      <c r="E55" s="15" t="inlineStr">
        <is>
          <t>Eivor Varinsdottir</t>
        </is>
      </c>
      <c r="F55" s="15" t="inlineStr">
        <is>
          <t>885–886 AD</t>
        </is>
      </c>
      <c r="G55" s="15" t="inlineStr">
        <is>
          <t>Viking Siege of Paris / Carolingian Empire</t>
        </is>
      </c>
      <c r="H55" s="15" t="inlineStr">
        <is>
          <t>Francia (France)</t>
        </is>
      </c>
      <c r="I55" s="16" t="inlineStr">
        <is>
          <t>Europe</t>
        </is>
      </c>
      <c r="J55" s="15" t="inlineStr">
        <is>
          <t>PC, PS4, PS5, Xbox One, Xbox Series X/S</t>
        </is>
      </c>
    </row>
    <row r="56" ht="20" customHeight="1">
      <c r="A56" s="17" t="inlineStr">
        <is>
          <t>AC Valhalla: Dawn of Ragnarök</t>
        </is>
      </c>
      <c r="B56" s="18" t="inlineStr">
        <is>
          <t>Major DLC / Expansion</t>
        </is>
      </c>
      <c r="C56" s="18" t="inlineStr">
        <is>
          <t>2022-03-10</t>
        </is>
      </c>
      <c r="D56" s="18" t="n">
        <v>2022</v>
      </c>
      <c r="E56" s="17" t="inlineStr">
        <is>
          <t>Eivor (as Odin / Havi)</t>
        </is>
      </c>
      <c r="F56" s="17" t="inlineStr">
        <is>
          <t>Mythological</t>
        </is>
      </c>
      <c r="G56" s="17" t="inlineStr">
        <is>
          <t>Norse Mythology / Isu Lore</t>
        </is>
      </c>
      <c r="H56" s="17" t="inlineStr">
        <is>
          <t>Svartalfheim</t>
        </is>
      </c>
      <c r="I56" s="18" t="inlineStr">
        <is>
          <t>Europe</t>
        </is>
      </c>
      <c r="J56" s="17" t="inlineStr">
        <is>
          <t>PC, PS4, PS5, Xbox One, Xbox Series X/S</t>
        </is>
      </c>
    </row>
    <row r="57" ht="20" customHeight="1">
      <c r="A57" s="15" t="inlineStr">
        <is>
          <t>AC Valhalla: The Last Chapter</t>
        </is>
      </c>
      <c r="B57" s="16" t="inlineStr">
        <is>
          <t>Major DLC / Expansion</t>
        </is>
      </c>
      <c r="C57" s="16" t="inlineStr">
        <is>
          <t>2022-11-30</t>
        </is>
      </c>
      <c r="D57" s="16" t="n">
        <v>2022</v>
      </c>
      <c r="E57" s="15" t="inlineStr">
        <is>
          <t>Eivor Varinsdottir</t>
        </is>
      </c>
      <c r="F57" s="15" t="inlineStr">
        <is>
          <t>~888 AD</t>
        </is>
      </c>
      <c r="G57" s="15" t="inlineStr">
        <is>
          <t>Late Viking Era</t>
        </is>
      </c>
      <c r="H57" s="15" t="inlineStr">
        <is>
          <t>England, Norway, Vinland (North America)</t>
        </is>
      </c>
      <c r="I57" s="16" t="inlineStr">
        <is>
          <t>Europe</t>
        </is>
      </c>
      <c r="J57" s="15" t="inlineStr">
        <is>
          <t>PC, PS4, PS5, Xbox One, Xbox Series X/S</t>
        </is>
      </c>
    </row>
    <row r="58" ht="20" customHeight="1">
      <c r="A58" s="17" t="inlineStr">
        <is>
          <t>Assassin's Creed Mirage</t>
        </is>
      </c>
      <c r="B58" s="18" t="inlineStr">
        <is>
          <t>Main Game</t>
        </is>
      </c>
      <c r="C58" s="18" t="inlineStr">
        <is>
          <t>2023-10-05</t>
        </is>
      </c>
      <c r="D58" s="18" t="n">
        <v>2023</v>
      </c>
      <c r="E58" s="17" t="inlineStr">
        <is>
          <t>Basim Ibn Ishaq</t>
        </is>
      </c>
      <c r="F58" s="17" t="inlineStr">
        <is>
          <t>861 AD</t>
        </is>
      </c>
      <c r="G58" s="17" t="inlineStr">
        <is>
          <t>Anarchy at Samarra / Islamic Golden Age</t>
        </is>
      </c>
      <c r="H58" s="17" t="inlineStr">
        <is>
          <t>Baghdad (Abbasid Caliphate / Iraq)</t>
        </is>
      </c>
      <c r="I58" s="18" t="inlineStr">
        <is>
          <t>Middle East</t>
        </is>
      </c>
      <c r="J58" s="17" t="inlineStr">
        <is>
          <t>PC, PS4, PS5, Xbox One, Xbox Series X/S, iOS</t>
        </is>
      </c>
    </row>
    <row r="59" ht="20" customHeight="1">
      <c r="A59" s="15" t="inlineStr">
        <is>
          <t>Assassin's Creed Nexus VR</t>
        </is>
      </c>
      <c r="B59" s="16" t="inlineStr">
        <is>
          <t>Spin-Off</t>
        </is>
      </c>
      <c r="C59" s="16" t="inlineStr">
        <is>
          <t>2023-11-16</t>
        </is>
      </c>
      <c r="D59" s="16" t="n">
        <v>2023</v>
      </c>
      <c r="E59" s="15" t="inlineStr">
        <is>
          <t>Ezio, Connor, Kassandra</t>
        </is>
      </c>
      <c r="F59" s="15" t="inlineStr">
        <is>
          <t>400 BC – 1770s AD</t>
        </is>
      </c>
      <c r="G59" s="15" t="inlineStr">
        <is>
          <t>Classical Greece, Renaissance, American Revolution</t>
        </is>
      </c>
      <c r="H59" s="15" t="inlineStr">
        <is>
          <t>Greece, Italy, USA</t>
        </is>
      </c>
      <c r="I59" s="16" t="inlineStr">
        <is>
          <t>Multi-Region</t>
        </is>
      </c>
      <c r="J59" s="15" t="inlineStr">
        <is>
          <t>Meta Quest 2, Meta Quest 3, Meta Quest Pro</t>
        </is>
      </c>
    </row>
    <row r="60" ht="20" customHeight="1">
      <c r="A60" s="17" t="inlineStr">
        <is>
          <t>Assassin's Creed Shadows</t>
        </is>
      </c>
      <c r="B60" s="18" t="inlineStr">
        <is>
          <t>Main Game</t>
        </is>
      </c>
      <c r="C60" s="18" t="inlineStr">
        <is>
          <t>2025-02-14</t>
        </is>
      </c>
      <c r="D60" s="18" t="n">
        <v>2025</v>
      </c>
      <c r="E60" s="17" t="inlineStr">
        <is>
          <t>Naoe, Yasuke</t>
        </is>
      </c>
      <c r="F60" s="17" t="inlineStr">
        <is>
          <t>1579–1580s AD</t>
        </is>
      </c>
      <c r="G60" s="17" t="inlineStr">
        <is>
          <t>Sengoku Period (Feudal Japan)</t>
        </is>
      </c>
      <c r="H60" s="17" t="inlineStr">
        <is>
          <t>Kansai Region, Azuchi, Kyoto (Japan)</t>
        </is>
      </c>
      <c r="I60" s="18" t="inlineStr">
        <is>
          <t>Asia</t>
        </is>
      </c>
      <c r="J60" s="17" t="inlineStr">
        <is>
          <t>PC, PS5, Xbox Series X/S, Mac</t>
        </is>
      </c>
    </row>
    <row r="61" ht="20" customHeight="1">
      <c r="A61" s="15" t="inlineStr">
        <is>
          <t>Assassin's Creed Jade</t>
        </is>
      </c>
      <c r="B61" s="16" t="inlineStr">
        <is>
          <t>Mobile / Handheld</t>
        </is>
      </c>
      <c r="C61" s="16" t="inlineStr">
        <is>
          <t>2025-12-31</t>
        </is>
      </c>
      <c r="D61" s="16" t="n">
        <v>2025</v>
      </c>
      <c r="E61" s="15" t="inlineStr">
        <is>
          <t>Xia (Custom Protagonist)</t>
        </is>
      </c>
      <c r="F61" s="15" t="inlineStr">
        <is>
          <t>215 BC</t>
        </is>
      </c>
      <c r="G61" s="15" t="inlineStr">
        <is>
          <t>Qin Dynasty (Ancient China)</t>
        </is>
      </c>
      <c r="H61" s="15" t="inlineStr">
        <is>
          <t>Xianyang, Great Wall (China)</t>
        </is>
      </c>
      <c r="I61" s="16" t="inlineStr">
        <is>
          <t>Asia</t>
        </is>
      </c>
      <c r="J61" s="15" t="inlineStr">
        <is>
          <t>iOS, Android</t>
        </is>
      </c>
    </row>
  </sheetData>
  <autoFilter ref="A4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2026-10-06T13:36:42Z</dcterms:created>
  <dcterms:modified xmlns:dcterms="http://purl.org/dc/terms/" xmlns:xsi="http://www.w3.org/2001/XMLSchema-instance" xsi:type="dcterms:W3CDTF">2026-10-06T13:36:42Z</dcterms:modified>
</cp:coreProperties>
</file>